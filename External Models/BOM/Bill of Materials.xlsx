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sc10\GitHub\Group 5\External Models\BOM\"/>
    </mc:Choice>
  </mc:AlternateContent>
  <xr:revisionPtr revIDLastSave="0" documentId="13_ncr:1_{2ADC16AC-31FD-4725-AB87-EE83BD1467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M Report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20" i="1"/>
  <c r="F26" i="1"/>
  <c r="F31" i="1"/>
  <c r="F14" i="1"/>
  <c r="E15" i="1"/>
  <c r="E20" i="1"/>
  <c r="E26" i="1"/>
  <c r="E31" i="1"/>
  <c r="E14" i="1"/>
  <c r="C9" i="1"/>
  <c r="B9" i="1"/>
</calcChain>
</file>

<file path=xl/sharedStrings.xml><?xml version="1.0" encoding="utf-8"?>
<sst xmlns="http://schemas.openxmlformats.org/spreadsheetml/2006/main" count="130" uniqueCount="88">
  <si>
    <t>Bill-of-Materials</t>
  </si>
  <si>
    <t>Group 5 UAV</t>
  </si>
  <si>
    <t>Source Data From:</t>
  </si>
  <si>
    <t>Design Spec</t>
  </si>
  <si>
    <t>Project:</t>
  </si>
  <si>
    <t>UAV</t>
  </si>
  <si>
    <t>Variant:</t>
  </si>
  <si>
    <t>A</t>
  </si>
  <si>
    <t>Creation Date:</t>
  </si>
  <si>
    <t>Print Date:</t>
  </si>
  <si>
    <t>Prepared by:</t>
  </si>
  <si>
    <t>Adam Davis</t>
  </si>
  <si>
    <t>Production Quantity:</t>
  </si>
  <si>
    <t>1</t>
  </si>
  <si>
    <t>Part Number</t>
  </si>
  <si>
    <t>Item Name</t>
  </si>
  <si>
    <t>Subsystem</t>
  </si>
  <si>
    <t>Qty</t>
  </si>
  <si>
    <t>Unit Mass (kg)</t>
  </si>
  <si>
    <t>Unit Price (£)</t>
  </si>
  <si>
    <t>Supplier</t>
  </si>
  <si>
    <t>Revision</t>
  </si>
  <si>
    <t>Notes</t>
  </si>
  <si>
    <t>Flight Control System</t>
  </si>
  <si>
    <t>FCS-FCC-X910-A01</t>
  </si>
  <si>
    <t>Flight Control Computer (FCC)</t>
  </si>
  <si>
    <t>NavFlight Systems</t>
  </si>
  <si>
    <t>Rev A</t>
  </si>
  <si>
    <t>Primary flight computer</t>
  </si>
  <si>
    <t>FCS-GPS-M8Q-B01</t>
  </si>
  <si>
    <t>GPS System</t>
  </si>
  <si>
    <t>GeoNav Technologies</t>
  </si>
  <si>
    <t>GNSS positioning module</t>
  </si>
  <si>
    <t>FCS-IMU-7DOF-C01</t>
  </si>
  <si>
    <t>Inertial Measurement Unit (IMU)</t>
  </si>
  <si>
    <t>Integrated IMU sensor</t>
  </si>
  <si>
    <t>FCS-DAS-LDR-D01</t>
  </si>
  <si>
    <t>Detect &amp; Avoid System</t>
  </si>
  <si>
    <t>SafeSky Systems</t>
  </si>
  <si>
    <t>Rev B</t>
  </si>
  <si>
    <t>LiDAR-based obstacle detection</t>
  </si>
  <si>
    <t>STR-WNG-FW24-A01</t>
  </si>
  <si>
    <t>Main Wing Assembly</t>
  </si>
  <si>
    <t>Structure Subsystem</t>
  </si>
  <si>
    <t>AeroStructures Ltd</t>
  </si>
  <si>
    <t>Carbon composite wing</t>
  </si>
  <si>
    <t>STR-FUS-FW24-B01</t>
  </si>
  <si>
    <t>Fuselage Assembly</t>
  </si>
  <si>
    <t>Composite fuselage</t>
  </si>
  <si>
    <t>STR-HTP-FW24-C01</t>
  </si>
  <si>
    <t>Horizontal Tail Plane</t>
  </si>
  <si>
    <t>Stabilising surface</t>
  </si>
  <si>
    <t>STR-VTP-FW24-D01</t>
  </si>
  <si>
    <t>Vertical Tail Plane</t>
  </si>
  <si>
    <t>Directional stability surface</t>
  </si>
  <si>
    <t>STR-PAY-CMP-E01</t>
  </si>
  <si>
    <t>Payload Compartment</t>
  </si>
  <si>
    <t>Modular payload bay</t>
  </si>
  <si>
    <t>COM-XPD-1090-A01</t>
  </si>
  <si>
    <t>Transponder (XPDR)</t>
  </si>
  <si>
    <t>Communication System</t>
  </si>
  <si>
    <t>SkyLink Defence</t>
  </si>
  <si>
    <t>ADS-B compatible</t>
  </si>
  <si>
    <t>COM-TX-24G-B01</t>
  </si>
  <si>
    <t>RF Transmitter</t>
  </si>
  <si>
    <t>2.4GHz transmitter</t>
  </si>
  <si>
    <t>COM-RCV-24G-C01</t>
  </si>
  <si>
    <t>RF Receiver</t>
  </si>
  <si>
    <t>Long-range receiver</t>
  </si>
  <si>
    <t>COM-RAD-UHF-D01</t>
  </si>
  <si>
    <t>UHF Radio Module</t>
  </si>
  <si>
    <t>Secure telemetry radio</t>
  </si>
  <si>
    <t>PRP-BAT-12S8K-A01</t>
  </si>
  <si>
    <t>Battery Pack</t>
  </si>
  <si>
    <t>Propulsion System</t>
  </si>
  <si>
    <t>SkyPower Energy</t>
  </si>
  <si>
    <t>12S 8000mAh battery</t>
  </si>
  <si>
    <t>PRP-PRL-1755-B01</t>
  </si>
  <si>
    <t>Propeller</t>
  </si>
  <si>
    <t>AeroBlade Systems</t>
  </si>
  <si>
    <t>17x5.5 propeller</t>
  </si>
  <si>
    <t>PRP-MTR-4217-C01</t>
  </si>
  <si>
    <t>Brushless Motor</t>
  </si>
  <si>
    <t>UAVTech Propulsion</t>
  </si>
  <si>
    <t>Twin-motor propulsion</t>
  </si>
  <si>
    <t>PRP-ESC-080A-D01</t>
  </si>
  <si>
    <t>Electronic Speed Controller (ESC)</t>
  </si>
  <si>
    <t>80A 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</si>
</sst>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medium">
        <color theme="7" tint="-0.24994659260841701"/>
      </right>
      <top style="medium">
        <color indexed="62"/>
      </top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1" xfId="0" quotePrefix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164" fontId="0" fillId="0" borderId="4" xfId="0" applyNumberFormat="1" applyBorder="1" applyAlignment="1">
      <alignment horizontal="left" vertical="center"/>
    </xf>
    <xf numFmtId="165" fontId="0" fillId="0" borderId="4" xfId="0" applyNumberForma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49" fontId="0" fillId="0" borderId="4" xfId="0" quotePrefix="1" applyNumberFormat="1" applyBorder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5" fillId="2" borderId="2" xfId="0" quotePrefix="1" applyFont="1" applyFill="1" applyBorder="1" applyAlignment="1">
      <alignment vertical="center"/>
    </xf>
    <xf numFmtId="14" fontId="0" fillId="0" borderId="6" xfId="0" quotePrefix="1" applyNumberFormat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vertical="center" wrapText="1"/>
    </xf>
    <xf numFmtId="0" fontId="7" fillId="5" borderId="24" xfId="0" applyFont="1" applyFill="1" applyBorder="1" applyAlignment="1">
      <alignment vertical="center" wrapText="1"/>
    </xf>
    <xf numFmtId="0" fontId="1" fillId="5" borderId="23" xfId="0" applyFont="1" applyFill="1" applyBorder="1" applyAlignment="1">
      <alignment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vertical="center" wrapText="1"/>
    </xf>
    <xf numFmtId="0" fontId="8" fillId="6" borderId="24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8"/>
  <sheetViews>
    <sheetView showGridLines="0" tabSelected="1" topLeftCell="B12" zoomScaleNormal="100" workbookViewId="0">
      <selection activeCell="E14" sqref="E14"/>
    </sheetView>
  </sheetViews>
  <sheetFormatPr defaultColWidth="9.1796875" defaultRowHeight="12.5" x14ac:dyDescent="0.25"/>
  <cols>
    <col min="1" max="1" width="19.453125" style="30" bestFit="1" customWidth="1"/>
    <col min="2" max="2" width="27.7265625" style="11" bestFit="1" customWidth="1"/>
    <col min="3" max="3" width="21.1796875" style="11" bestFit="1" customWidth="1"/>
    <col min="4" max="4" width="7" style="1" customWidth="1"/>
    <col min="5" max="5" width="13.54296875" style="1" bestFit="1" customWidth="1"/>
    <col min="6" max="6" width="12.54296875" style="1" bestFit="1" customWidth="1"/>
    <col min="7" max="7" width="25.54296875" style="13" customWidth="1"/>
    <col min="8" max="8" width="11.453125" style="13" customWidth="1"/>
    <col min="9" max="9" width="32.1796875" style="13" customWidth="1"/>
    <col min="10" max="252" width="11.453125" style="1" customWidth="1"/>
    <col min="253" max="16384" width="9.1796875" style="1"/>
  </cols>
  <sheetData>
    <row r="1" spans="1:9" ht="13" thickBot="1" x14ac:dyDescent="0.3">
      <c r="A1" s="2"/>
      <c r="B1" s="3"/>
      <c r="C1" s="3"/>
      <c r="D1" s="4"/>
      <c r="E1" s="4"/>
      <c r="F1" s="4"/>
      <c r="G1" s="5"/>
      <c r="H1" s="6"/>
      <c r="I1" s="6"/>
    </row>
    <row r="2" spans="1:9" ht="15" customHeight="1" x14ac:dyDescent="0.25">
      <c r="A2" s="60" t="s">
        <v>0</v>
      </c>
      <c r="B2" s="61"/>
      <c r="C2" s="62"/>
      <c r="D2" s="7"/>
      <c r="E2" s="7"/>
      <c r="F2" s="7"/>
      <c r="G2" s="6"/>
      <c r="H2" s="6"/>
      <c r="I2" s="6"/>
    </row>
    <row r="3" spans="1:9" ht="18.75" customHeight="1" thickBot="1" x14ac:dyDescent="0.3">
      <c r="A3" s="63"/>
      <c r="B3" s="64"/>
      <c r="C3" s="65"/>
      <c r="D3" s="36" t="s">
        <v>1</v>
      </c>
      <c r="E3" s="8"/>
      <c r="F3" s="8"/>
      <c r="G3" s="9"/>
      <c r="H3" s="9"/>
      <c r="I3" s="9"/>
    </row>
    <row r="4" spans="1:9" ht="23.25" customHeight="1" x14ac:dyDescent="0.25">
      <c r="A4" s="10" t="s">
        <v>2</v>
      </c>
      <c r="C4" s="33" t="s">
        <v>3</v>
      </c>
      <c r="D4" s="12"/>
    </row>
    <row r="5" spans="1:9" ht="17.25" customHeight="1" x14ac:dyDescent="0.25">
      <c r="A5" s="10" t="s">
        <v>4</v>
      </c>
      <c r="C5" s="34" t="s">
        <v>5</v>
      </c>
      <c r="D5" s="14"/>
    </row>
    <row r="6" spans="1:9" ht="17.25" customHeight="1" x14ac:dyDescent="0.25">
      <c r="A6" s="10" t="s">
        <v>6</v>
      </c>
      <c r="C6" s="35" t="s">
        <v>7</v>
      </c>
      <c r="D6" s="16"/>
    </row>
    <row r="7" spans="1:9" ht="13" x14ac:dyDescent="0.25">
      <c r="A7" s="17"/>
      <c r="B7" s="15"/>
      <c r="C7" s="18"/>
      <c r="D7" s="16"/>
      <c r="E7" s="19"/>
      <c r="F7" s="19"/>
      <c r="G7" s="20"/>
      <c r="H7" s="20"/>
      <c r="I7" s="20"/>
    </row>
    <row r="8" spans="1:9" ht="15.75" customHeight="1" x14ac:dyDescent="0.25">
      <c r="A8" s="21" t="s">
        <v>8</v>
      </c>
      <c r="B8" s="37">
        <v>46155</v>
      </c>
      <c r="C8" s="22"/>
      <c r="D8" s="23"/>
    </row>
    <row r="9" spans="1:9" ht="15.75" customHeight="1" x14ac:dyDescent="0.25">
      <c r="A9" s="24" t="s">
        <v>9</v>
      </c>
      <c r="B9" s="25">
        <f ca="1">TODAY()</f>
        <v>46156</v>
      </c>
      <c r="C9" s="26">
        <f ca="1">NOW()</f>
        <v>46156.881087731483</v>
      </c>
      <c r="D9" s="23"/>
      <c r="E9" s="68" t="s">
        <v>10</v>
      </c>
      <c r="F9" s="68"/>
      <c r="G9" s="68"/>
      <c r="H9" s="66" t="s">
        <v>11</v>
      </c>
      <c r="I9" s="67"/>
    </row>
    <row r="10" spans="1:9" ht="15.75" customHeight="1" x14ac:dyDescent="0.25">
      <c r="A10" s="21"/>
      <c r="B10" s="27"/>
      <c r="C10" s="28"/>
      <c r="D10" s="23"/>
      <c r="H10" s="67"/>
      <c r="I10" s="67"/>
    </row>
    <row r="11" spans="1:9" ht="15.75" customHeight="1" x14ac:dyDescent="0.25">
      <c r="A11" s="21" t="s">
        <v>12</v>
      </c>
      <c r="B11" s="32" t="s">
        <v>13</v>
      </c>
      <c r="C11" s="28"/>
      <c r="D11" s="23"/>
      <c r="H11" s="67"/>
      <c r="I11" s="67"/>
    </row>
    <row r="12" spans="1:9" ht="35.25" customHeight="1" thickBot="1" x14ac:dyDescent="0.3">
      <c r="A12" s="24"/>
    </row>
    <row r="13" spans="1:9" s="31" customFormat="1" ht="20.25" customHeight="1" thickBot="1" x14ac:dyDescent="0.3">
      <c r="A13" s="50" t="s">
        <v>14</v>
      </c>
      <c r="B13" s="51" t="s">
        <v>15</v>
      </c>
      <c r="C13" s="51" t="s">
        <v>16</v>
      </c>
      <c r="D13" s="51" t="s">
        <v>17</v>
      </c>
      <c r="E13" s="51" t="s">
        <v>18</v>
      </c>
      <c r="F13" s="51" t="s">
        <v>19</v>
      </c>
      <c r="G13" s="51" t="s">
        <v>20</v>
      </c>
      <c r="H13" s="51" t="s">
        <v>21</v>
      </c>
      <c r="I13" s="52" t="s">
        <v>22</v>
      </c>
    </row>
    <row r="14" spans="1:9" s="31" customFormat="1" ht="25" customHeight="1" thickBot="1" x14ac:dyDescent="0.3">
      <c r="A14" s="57"/>
      <c r="B14" s="58" t="s">
        <v>5</v>
      </c>
      <c r="C14" s="58"/>
      <c r="D14" s="58">
        <v>1</v>
      </c>
      <c r="E14" s="58">
        <f>SUM(E15,E20,E26,E31)</f>
        <v>10.25</v>
      </c>
      <c r="F14" s="58">
        <f>SUM(F15,F20,F26,F31)</f>
        <v>7700</v>
      </c>
      <c r="G14" s="58"/>
      <c r="H14" s="58"/>
      <c r="I14" s="59"/>
    </row>
    <row r="15" spans="1:9" s="31" customFormat="1" ht="25" customHeight="1" thickBot="1" x14ac:dyDescent="0.3">
      <c r="A15" s="53"/>
      <c r="B15" s="54" t="s">
        <v>23</v>
      </c>
      <c r="C15" s="54"/>
      <c r="D15" s="54">
        <v>1</v>
      </c>
      <c r="E15" s="54">
        <f>SUM(E16:E19)</f>
        <v>0.91</v>
      </c>
      <c r="F15" s="54">
        <f>SUM(F16:F19)</f>
        <v>2035</v>
      </c>
      <c r="G15" s="54"/>
      <c r="H15" s="54"/>
      <c r="I15" s="55"/>
    </row>
    <row r="16" spans="1:9" s="29" customFormat="1" ht="25" customHeight="1" x14ac:dyDescent="0.25">
      <c r="A16" s="44" t="s">
        <v>24</v>
      </c>
      <c r="B16" s="45" t="s">
        <v>25</v>
      </c>
      <c r="C16" s="45" t="s">
        <v>23</v>
      </c>
      <c r="D16" s="45">
        <v>1</v>
      </c>
      <c r="E16" s="45">
        <v>0.18</v>
      </c>
      <c r="F16" s="45">
        <v>480</v>
      </c>
      <c r="G16" s="45" t="s">
        <v>26</v>
      </c>
      <c r="H16" s="45" t="s">
        <v>27</v>
      </c>
      <c r="I16" s="46" t="s">
        <v>28</v>
      </c>
    </row>
    <row r="17" spans="1:9" s="29" customFormat="1" ht="25" customHeight="1" x14ac:dyDescent="0.25">
      <c r="A17" s="47" t="s">
        <v>29</v>
      </c>
      <c r="B17" s="48" t="s">
        <v>30</v>
      </c>
      <c r="C17" s="48" t="s">
        <v>23</v>
      </c>
      <c r="D17" s="48">
        <v>1</v>
      </c>
      <c r="E17" s="48">
        <v>0.05</v>
      </c>
      <c r="F17" s="48">
        <v>145</v>
      </c>
      <c r="G17" s="48" t="s">
        <v>31</v>
      </c>
      <c r="H17" s="48" t="s">
        <v>27</v>
      </c>
      <c r="I17" s="49" t="s">
        <v>32</v>
      </c>
    </row>
    <row r="18" spans="1:9" s="29" customFormat="1" ht="25" customHeight="1" x14ac:dyDescent="0.25">
      <c r="A18" s="39" t="s">
        <v>33</v>
      </c>
      <c r="B18" s="38" t="s">
        <v>34</v>
      </c>
      <c r="C18" s="38" t="s">
        <v>23</v>
      </c>
      <c r="D18" s="38">
        <v>1</v>
      </c>
      <c r="E18" s="38">
        <v>0.03</v>
      </c>
      <c r="F18" s="38">
        <v>210</v>
      </c>
      <c r="G18" s="38" t="s">
        <v>26</v>
      </c>
      <c r="H18" s="38" t="s">
        <v>27</v>
      </c>
      <c r="I18" s="40" t="s">
        <v>35</v>
      </c>
    </row>
    <row r="19" spans="1:9" s="29" customFormat="1" ht="25" customHeight="1" thickBot="1" x14ac:dyDescent="0.3">
      <c r="A19" s="47" t="s">
        <v>36</v>
      </c>
      <c r="B19" s="48" t="s">
        <v>37</v>
      </c>
      <c r="C19" s="48" t="s">
        <v>23</v>
      </c>
      <c r="D19" s="48">
        <v>1</v>
      </c>
      <c r="E19" s="48">
        <v>0.65</v>
      </c>
      <c r="F19" s="48">
        <v>1200</v>
      </c>
      <c r="G19" s="48" t="s">
        <v>38</v>
      </c>
      <c r="H19" s="48" t="s">
        <v>39</v>
      </c>
      <c r="I19" s="49" t="s">
        <v>40</v>
      </c>
    </row>
    <row r="20" spans="1:9" s="29" customFormat="1" ht="25" customHeight="1" thickBot="1" x14ac:dyDescent="0.3">
      <c r="A20" s="53"/>
      <c r="B20" s="56" t="s">
        <v>43</v>
      </c>
      <c r="C20" s="54"/>
      <c r="D20" s="54">
        <v>1</v>
      </c>
      <c r="E20" s="54">
        <f>SUM(E21:E25)</f>
        <v>6.82</v>
      </c>
      <c r="F20" s="54">
        <f>SUM(F21:F25)</f>
        <v>3325</v>
      </c>
      <c r="G20" s="54"/>
      <c r="H20" s="54"/>
      <c r="I20" s="55"/>
    </row>
    <row r="21" spans="1:9" s="29" customFormat="1" ht="25" customHeight="1" x14ac:dyDescent="0.25">
      <c r="A21" s="39" t="s">
        <v>41</v>
      </c>
      <c r="B21" s="38" t="s">
        <v>42</v>
      </c>
      <c r="C21" s="38" t="s">
        <v>43</v>
      </c>
      <c r="D21" s="38">
        <v>1</v>
      </c>
      <c r="E21" s="38">
        <v>2.1</v>
      </c>
      <c r="F21" s="38">
        <v>950</v>
      </c>
      <c r="G21" s="38" t="s">
        <v>44</v>
      </c>
      <c r="H21" s="38" t="s">
        <v>27</v>
      </c>
      <c r="I21" s="40" t="s">
        <v>45</v>
      </c>
    </row>
    <row r="22" spans="1:9" s="29" customFormat="1" ht="25" customHeight="1" x14ac:dyDescent="0.25">
      <c r="A22" s="47" t="s">
        <v>46</v>
      </c>
      <c r="B22" s="48" t="s">
        <v>47</v>
      </c>
      <c r="C22" s="48" t="s">
        <v>43</v>
      </c>
      <c r="D22" s="48">
        <v>1</v>
      </c>
      <c r="E22" s="48">
        <v>2.85</v>
      </c>
      <c r="F22" s="48">
        <v>1350</v>
      </c>
      <c r="G22" s="48" t="s">
        <v>44</v>
      </c>
      <c r="H22" s="48" t="s">
        <v>27</v>
      </c>
      <c r="I22" s="49" t="s">
        <v>48</v>
      </c>
    </row>
    <row r="23" spans="1:9" s="29" customFormat="1" ht="25" customHeight="1" x14ac:dyDescent="0.25">
      <c r="A23" s="39" t="s">
        <v>49</v>
      </c>
      <c r="B23" s="38" t="s">
        <v>50</v>
      </c>
      <c r="C23" s="38" t="s">
        <v>43</v>
      </c>
      <c r="D23" s="38">
        <v>1</v>
      </c>
      <c r="E23" s="38">
        <v>0.55000000000000004</v>
      </c>
      <c r="F23" s="38">
        <v>320</v>
      </c>
      <c r="G23" s="38" t="s">
        <v>44</v>
      </c>
      <c r="H23" s="38" t="s">
        <v>27</v>
      </c>
      <c r="I23" s="40" t="s">
        <v>51</v>
      </c>
    </row>
    <row r="24" spans="1:9" s="29" customFormat="1" ht="25" customHeight="1" x14ac:dyDescent="0.25">
      <c r="A24" s="47" t="s">
        <v>52</v>
      </c>
      <c r="B24" s="48" t="s">
        <v>53</v>
      </c>
      <c r="C24" s="48" t="s">
        <v>43</v>
      </c>
      <c r="D24" s="48">
        <v>1</v>
      </c>
      <c r="E24" s="48">
        <v>0.42</v>
      </c>
      <c r="F24" s="48">
        <v>295</v>
      </c>
      <c r="G24" s="48" t="s">
        <v>44</v>
      </c>
      <c r="H24" s="48" t="s">
        <v>27</v>
      </c>
      <c r="I24" s="49" t="s">
        <v>54</v>
      </c>
    </row>
    <row r="25" spans="1:9" s="29" customFormat="1" ht="25" customHeight="1" thickBot="1" x14ac:dyDescent="0.3">
      <c r="A25" s="39" t="s">
        <v>55</v>
      </c>
      <c r="B25" s="38" t="s">
        <v>56</v>
      </c>
      <c r="C25" s="38" t="s">
        <v>43</v>
      </c>
      <c r="D25" s="38">
        <v>1</v>
      </c>
      <c r="E25" s="38">
        <v>0.9</v>
      </c>
      <c r="F25" s="38">
        <v>410</v>
      </c>
      <c r="G25" s="38" t="s">
        <v>44</v>
      </c>
      <c r="H25" s="38" t="s">
        <v>39</v>
      </c>
      <c r="I25" s="40" t="s">
        <v>57</v>
      </c>
    </row>
    <row r="26" spans="1:9" s="29" customFormat="1" ht="25" customHeight="1" thickBot="1" x14ac:dyDescent="0.3">
      <c r="A26" s="53"/>
      <c r="B26" s="54" t="s">
        <v>60</v>
      </c>
      <c r="C26" s="54"/>
      <c r="D26" s="54">
        <v>1</v>
      </c>
      <c r="E26" s="54">
        <f>SUM(E27:E30)</f>
        <v>0.49</v>
      </c>
      <c r="F26" s="54">
        <f>SUM(F27:F30)</f>
        <v>1340</v>
      </c>
      <c r="G26" s="54"/>
      <c r="H26" s="54"/>
      <c r="I26" s="55"/>
    </row>
    <row r="27" spans="1:9" s="29" customFormat="1" ht="25" customHeight="1" x14ac:dyDescent="0.25">
      <c r="A27" s="47" t="s">
        <v>58</v>
      </c>
      <c r="B27" s="48" t="s">
        <v>59</v>
      </c>
      <c r="C27" s="48" t="s">
        <v>60</v>
      </c>
      <c r="D27" s="48">
        <v>1</v>
      </c>
      <c r="E27" s="48">
        <v>0.22</v>
      </c>
      <c r="F27" s="48">
        <v>780</v>
      </c>
      <c r="G27" s="48" t="s">
        <v>61</v>
      </c>
      <c r="H27" s="48" t="s">
        <v>27</v>
      </c>
      <c r="I27" s="49" t="s">
        <v>62</v>
      </c>
    </row>
    <row r="28" spans="1:9" s="29" customFormat="1" ht="25" customHeight="1" x14ac:dyDescent="0.25">
      <c r="A28" s="39" t="s">
        <v>63</v>
      </c>
      <c r="B28" s="38" t="s">
        <v>64</v>
      </c>
      <c r="C28" s="38" t="s">
        <v>60</v>
      </c>
      <c r="D28" s="38">
        <v>1</v>
      </c>
      <c r="E28" s="38">
        <v>0.08</v>
      </c>
      <c r="F28" s="38">
        <v>125</v>
      </c>
      <c r="G28" s="38" t="s">
        <v>61</v>
      </c>
      <c r="H28" s="38" t="s">
        <v>27</v>
      </c>
      <c r="I28" s="40" t="s">
        <v>65</v>
      </c>
    </row>
    <row r="29" spans="1:9" s="29" customFormat="1" ht="25" customHeight="1" x14ac:dyDescent="0.25">
      <c r="A29" s="47" t="s">
        <v>66</v>
      </c>
      <c r="B29" s="48" t="s">
        <v>67</v>
      </c>
      <c r="C29" s="48" t="s">
        <v>60</v>
      </c>
      <c r="D29" s="48">
        <v>1</v>
      </c>
      <c r="E29" s="48">
        <v>0.05</v>
      </c>
      <c r="F29" s="48">
        <v>95</v>
      </c>
      <c r="G29" s="48" t="s">
        <v>61</v>
      </c>
      <c r="H29" s="48" t="s">
        <v>27</v>
      </c>
      <c r="I29" s="49" t="s">
        <v>68</v>
      </c>
    </row>
    <row r="30" spans="1:9" ht="25" customHeight="1" thickBot="1" x14ac:dyDescent="0.3">
      <c r="A30" s="39" t="s">
        <v>69</v>
      </c>
      <c r="B30" s="38" t="s">
        <v>70</v>
      </c>
      <c r="C30" s="38" t="s">
        <v>60</v>
      </c>
      <c r="D30" s="38">
        <v>1</v>
      </c>
      <c r="E30" s="38">
        <v>0.14000000000000001</v>
      </c>
      <c r="F30" s="38">
        <v>340</v>
      </c>
      <c r="G30" s="38" t="s">
        <v>61</v>
      </c>
      <c r="H30" s="38" t="s">
        <v>27</v>
      </c>
      <c r="I30" s="40" t="s">
        <v>71</v>
      </c>
    </row>
    <row r="31" spans="1:9" ht="25" customHeight="1" thickBot="1" x14ac:dyDescent="0.3">
      <c r="A31" s="53"/>
      <c r="B31" s="54" t="s">
        <v>74</v>
      </c>
      <c r="C31" s="54"/>
      <c r="D31" s="54">
        <v>1</v>
      </c>
      <c r="E31" s="54">
        <f>SUM(E32:E35)</f>
        <v>2.0299999999999998</v>
      </c>
      <c r="F31" s="54">
        <f>SUM(F32:F35)</f>
        <v>1000</v>
      </c>
      <c r="G31" s="54"/>
      <c r="H31" s="54"/>
      <c r="I31" s="55"/>
    </row>
    <row r="32" spans="1:9" ht="25" customHeight="1" x14ac:dyDescent="0.25">
      <c r="A32" s="47" t="s">
        <v>72</v>
      </c>
      <c r="B32" s="48" t="s">
        <v>73</v>
      </c>
      <c r="C32" s="48" t="s">
        <v>74</v>
      </c>
      <c r="D32" s="48">
        <v>1</v>
      </c>
      <c r="E32" s="48">
        <v>1.4</v>
      </c>
      <c r="F32" s="48">
        <v>520</v>
      </c>
      <c r="G32" s="48" t="s">
        <v>75</v>
      </c>
      <c r="H32" s="48" t="s">
        <v>39</v>
      </c>
      <c r="I32" s="49" t="s">
        <v>76</v>
      </c>
    </row>
    <row r="33" spans="1:9" ht="25" customHeight="1" x14ac:dyDescent="0.25">
      <c r="A33" s="39" t="s">
        <v>77</v>
      </c>
      <c r="B33" s="38" t="s">
        <v>78</v>
      </c>
      <c r="C33" s="38" t="s">
        <v>74</v>
      </c>
      <c r="D33" s="38">
        <v>1</v>
      </c>
      <c r="E33" s="38">
        <v>0.09</v>
      </c>
      <c r="F33" s="38">
        <v>75</v>
      </c>
      <c r="G33" s="38" t="s">
        <v>79</v>
      </c>
      <c r="H33" s="38" t="s">
        <v>27</v>
      </c>
      <c r="I33" s="40" t="s">
        <v>80</v>
      </c>
    </row>
    <row r="34" spans="1:9" ht="25" customHeight="1" x14ac:dyDescent="0.25">
      <c r="A34" s="47" t="s">
        <v>81</v>
      </c>
      <c r="B34" s="48" t="s">
        <v>82</v>
      </c>
      <c r="C34" s="48" t="s">
        <v>74</v>
      </c>
      <c r="D34" s="48">
        <v>1</v>
      </c>
      <c r="E34" s="48">
        <v>0.42</v>
      </c>
      <c r="F34" s="48">
        <v>260</v>
      </c>
      <c r="G34" s="48" t="s">
        <v>83</v>
      </c>
      <c r="H34" s="48" t="s">
        <v>27</v>
      </c>
      <c r="I34" s="49" t="s">
        <v>84</v>
      </c>
    </row>
    <row r="35" spans="1:9" ht="25" customHeight="1" thickBot="1" x14ac:dyDescent="0.3">
      <c r="A35" s="41" t="s">
        <v>85</v>
      </c>
      <c r="B35" s="42" t="s">
        <v>86</v>
      </c>
      <c r="C35" s="42" t="s">
        <v>74</v>
      </c>
      <c r="D35" s="42">
        <v>1</v>
      </c>
      <c r="E35" s="42">
        <v>0.12</v>
      </c>
      <c r="F35" s="42">
        <v>145</v>
      </c>
      <c r="G35" s="42" t="s">
        <v>83</v>
      </c>
      <c r="H35" s="42" t="s">
        <v>27</v>
      </c>
      <c r="I35" s="43" t="s">
        <v>87</v>
      </c>
    </row>
    <row r="36" spans="1:9" ht="29.25" customHeight="1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 s="1"/>
      <c r="B38" s="1"/>
      <c r="C38" s="1"/>
      <c r="G38" s="1"/>
      <c r="H38" s="1"/>
      <c r="I38" s="1"/>
    </row>
  </sheetData>
  <mergeCells count="3">
    <mergeCell ref="A2:C3"/>
    <mergeCell ref="H9:I11"/>
    <mergeCell ref="E9:G9"/>
  </mergeCells>
  <phoneticPr fontId="0" type="noConversion"/>
  <pageMargins left="0.46" right="0.36" top="0.57999999999999996" bottom="0.984251969" header="0.5" footer="0.5"/>
  <pageSetup paperSize="9" scale="67" orientation="landscape" horizontalDpi="200" verticalDpi="200" r:id="rId1"/>
  <headerFooter alignWithMargins="0">
    <oddFooter>&amp;L&amp;BAltium Limited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4d1510-3355-4c87-8117-7dc7019c3145" xsi:nil="true"/>
    <lcf76f155ced4ddcb4097134ff3c332f xmlns="acd71c02-266c-4423-a1b2-5c09bfff80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8C53BB6678184FA58A8B562B9A63D1" ma:contentTypeVersion="10" ma:contentTypeDescription="Create a new document." ma:contentTypeScope="" ma:versionID="47a11e5c4835547a6c8599c0b6d404b7">
  <xsd:schema xmlns:xsd="http://www.w3.org/2001/XMLSchema" xmlns:xs="http://www.w3.org/2001/XMLSchema" xmlns:p="http://schemas.microsoft.com/office/2006/metadata/properties" xmlns:ns2="acd71c02-266c-4423-a1b2-5c09bfff8003" xmlns:ns3="4e4d1510-3355-4c87-8117-7dc7019c3145" targetNamespace="http://schemas.microsoft.com/office/2006/metadata/properties" ma:root="true" ma:fieldsID="7ed4ba689ecab52f49f772ccf9b938f2" ns2:_="" ns3:_="">
    <xsd:import namespace="acd71c02-266c-4423-a1b2-5c09bfff8003"/>
    <xsd:import namespace="4e4d1510-3355-4c87-8117-7dc7019c3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71c02-266c-4423-a1b2-5c09bfff8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d1510-3355-4c87-8117-7dc7019c31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a0e810-8f0f-4dd7-baed-ac3c6ac50e91}" ma:internalName="TaxCatchAll" ma:showField="CatchAllData" ma:web="4e4d1510-3355-4c87-8117-7dc7019c3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E0AF97-8124-4C42-91D6-ACBDDC39A597}">
  <ds:schemaRefs>
    <ds:schemaRef ds:uri="http://purl.org/dc/terms/"/>
    <ds:schemaRef ds:uri="4e4d1510-3355-4c87-8117-7dc7019c3145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acd71c02-266c-4423-a1b2-5c09bfff800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0D3B2B-27F4-4626-942E-B340C9C45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d71c02-266c-4423-a1b2-5c09bfff8003"/>
    <ds:schemaRef ds:uri="4e4d1510-3355-4c87-8117-7dc7019c3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B94B58-C975-41DD-99ED-CB5B8B8D1F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Report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SergioSena</dc:creator>
  <cp:keywords/>
  <dc:description/>
  <cp:lastModifiedBy>Shiam Chuttoo</cp:lastModifiedBy>
  <cp:revision/>
  <dcterms:created xsi:type="dcterms:W3CDTF">2000-10-27T00:30:29Z</dcterms:created>
  <dcterms:modified xsi:type="dcterms:W3CDTF">2026-05-14T20:10:27Z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0x010100ED8C53BB6678184FA58A8B562B9A63D1</vt:lpwstr>
  </property>
  <property fmtid="{D5CDD505-2E9C-101B-9397-08002B2CF9AE}" pid="3" name="MediaServiceImageTags">
    <vt:lpwstr/>
  </property>
</Properties>
</file>